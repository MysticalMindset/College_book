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<sst xmlns="http://schemas.openxmlformats.org/spreadsheetml/2006/main" count="91" uniqueCount="78">
  <si>
    <t xml:space="preserve">Item</t>
  </si>
  <si>
    <t xml:space="preserve">Instrument Tag</t>
  </si>
  <si>
    <t xml:space="preserve">Manufacturer</t>
  </si>
  <si>
    <t xml:space="preserve">Model Number</t>
  </si>
  <si>
    <t xml:space="preserve">Specification</t>
  </si>
  <si>
    <t xml:space="preserve">Uploaded data sheet file name </t>
  </si>
  <si>
    <t xml:space="preserve">Qty</t>
  </si>
  <si>
    <t xml:space="preserve">Unit Cost (CAD)</t>
  </si>
  <si>
    <t xml:space="preserve">Total Cost (CAD)</t>
  </si>
  <si>
    <t xml:space="preserve">ZS10-14</t>
  </si>
  <si>
    <t xml:space="preserve">C-J</t>
  </si>
  <si>
    <t xml:space="preserve">IR Obstacle Avoidance Module</t>
  </si>
  <si>
    <t xml:space="preserve">Infrared obstacle avoidance sensor module, adjustable sensitivity via potentiometer, operating voltage 3.3–5 V DC, digital output, detection distance approx. 2–30 cm, indicator LED, compatible with Arduino</t>
  </si>
  <si>
    <t xml:space="preserve">Datasheet of IR sensor.pdf</t>
  </si>
  <si>
    <t xml:space="preserve">PS-24</t>
  </si>
  <si>
    <t xml:space="preserve">Generic</t>
  </si>
  <si>
    <t xml:space="preserve">24V-2A Adapter</t>
  </si>
  <si>
    <t xml:space="preserve">AC-DC power supply adapter, input 100-240 V AC 50/60 Hz, output 24 V DC 2 A, barrel connector, wall adapter type, for electronics and security devices</t>
  </si>
  <si>
    <t xml:space="preserve">Generic, no datasheet. </t>
  </si>
  <si>
    <t xml:space="preserve">DC-05</t>
  </si>
  <si>
    <t xml:space="preserve">MP1584EN</t>
  </si>
  <si>
    <t xml:space="preserve">DC-DC step-down buck converter module, MP1584EN chip, input 4.5-28 V DC, output adjustable 0.8-20 V DC, maximum output current 3 A, high efficiency switching regulator module</t>
  </si>
  <si>
    <t xml:space="preserve">max7796.pdf</t>
  </si>
  <si>
    <t xml:space="preserve">RL10-15</t>
  </si>
  <si>
    <t xml:space="preserve">Huayao</t>
  </si>
  <si>
    <t xml:space="preserve">5V Relay Module</t>
  </si>
  <si>
    <t xml:space="preserve">1-channel relay module, coil voltage 5 V DC, opto-isolated control input, relay rating up to 10 A 250 V AC / 10 A 30 V DC, compatible with Arduino and microcontrollers</t>
  </si>
  <si>
    <t xml:space="preserve">1ch-relay.pdf</t>
  </si>
  <si>
    <t xml:space="preserve">MTR-24</t>
  </si>
  <si>
    <t xml:space="preserve">Greartisan</t>
  </si>
  <si>
    <t xml:space="preserve">GA12-N20</t>
  </si>
  <si>
    <t xml:space="preserve">DC geared motor, rated voltage 24 V DC, approx. 1000 RPM output speed, metal gearbox, shaft diameter approx. 6 mm, suitable for robotics and automation projects</t>
  </si>
  <si>
    <t xml:space="preserve">Generic, no datasheet provided</t>
  </si>
  <si>
    <t xml:space="preserve">MTR-05</t>
  </si>
  <si>
    <t xml:space="preserve">Mini DC Motor</t>
  </si>
  <si>
    <t xml:space="preserve">Miniature brushed DC motor, operating voltage 3-6 V DC (nominal 5 V), high speed up to ~15000 RPM no-load, used for hobby electronics and robotics</t>
  </si>
  <si>
    <t xml:space="preserve">1863913.pdf</t>
  </si>
  <si>
    <t xml:space="preserve">PB-10, PB-11</t>
  </si>
  <si>
    <t xml:space="preserve">Push Button</t>
  </si>
  <si>
    <t xml:space="preserve">Push button, closes connection when pressed.</t>
  </si>
  <si>
    <t xml:space="preserve">Generic, no datasheet</t>
  </si>
  <si>
    <t xml:space="preserve">APCS – Adaptive Personal Cooling System Components</t>
  </si>
  <si>
    <t xml:space="preserve">MCU-01</t>
  </si>
  <si>
    <t xml:space="preserve">Texas Instruments</t>
  </si>
  <si>
    <t xml:space="preserve">TM4C123GH6PM</t>
  </si>
  <si>
    <t xml:space="preserve">ARM Cortex-M4F LaunchPad, 80 MHz, 256 KB flash, 32 KB SRAM, onboard ICDI debugger, 3.3 V I/O</t>
  </si>
  <si>
    <t xml:space="preserve">TM4C123GH6PM datasheet (Rev. C)</t>
  </si>
  <si>
    <t xml:space="preserve">TS-01</t>
  </si>
  <si>
    <t xml:space="preserve">Analog Devices (Maxim)</t>
  </si>
  <si>
    <t xml:space="preserve">DS18B20</t>
  </si>
  <si>
    <t xml:space="preserve">1-Wire digital thermometer, -55 to +125 °C, ±0.5 °C accuracy (-10 to +85 °C), 12-bit resolution (0.0625 °C/step), TO-92 package</t>
  </si>
  <si>
    <t xml:space="preserve">DS18B20 datasheet (Rev. 6) – analog.com</t>
  </si>
  <si>
    <t xml:space="preserve">POT-01</t>
  </si>
  <si>
    <t xml:space="preserve">10 kΩ Linear Potentiometer</t>
  </si>
  <si>
    <t xml:space="preserve">Single-turn rotary potentiometer, 10 kΩ, linear taper, 3-pin, 0–3.3 V wiper output for ADC setpoint input (PE3/AIN0)</t>
  </si>
  <si>
    <t xml:space="preserve">FAN-01</t>
  </si>
  <si>
    <t xml:space="preserve">Generic (PC Fan)</t>
  </si>
  <si>
    <t xml:space="preserve">4-Wire 12 V PC Fan</t>
  </si>
  <si>
    <t xml:space="preserve">4-wire brushless DC fan, 12 V DC, dedicated PWM speed-control input (25 kHz), tachometer output, standard 80 mm or 92 mm form factor</t>
  </si>
  <si>
    <t xml:space="preserve">Intel 4-Wire Fan Spec Rev. 1.3</t>
  </si>
  <si>
    <t xml:space="preserve">LCD-01</t>
  </si>
  <si>
    <t xml:space="preserve">16x2 I2C LCD Module</t>
  </si>
  <si>
    <t xml:space="preserve">16-character × 2-line LCD with I²C backpack, I²C address 0x28, 5 V supply, 2-wire interface (SCL/SDA), blue backlight</t>
  </si>
  <si>
    <t xml:space="preserve">R-01</t>
  </si>
  <si>
    <t xml:space="preserve">5 kΩ Resistor</t>
  </si>
  <si>
    <t xml:space="preserve">Through-hole resistor, 5 kΩ (4.7 kΩ acceptable), 1/4 W, used as 1-Wire bus pull-up on DS18B20 data line (PE1) to 3.3 V</t>
  </si>
  <si>
    <t xml:space="preserve">PS-12</t>
  </si>
  <si>
    <t xml:space="preserve">12 V DC Power Supply</t>
  </si>
  <si>
    <t xml:space="preserve">AC-DC wall adapter, input 100-240 V AC 50/60 Hz, output 12 V DC ≥ 1 A, barrel connector, for 12 V PC fan supply rail</t>
  </si>
  <si>
    <t xml:space="preserve">ENC-01</t>
  </si>
  <si>
    <t xml:space="preserve">Custom (3D Printed)</t>
  </si>
  <si>
    <t xml:space="preserve">PLA Enclosure</t>
  </si>
  <si>
    <t xml:space="preserve">Custom 3D-printed enclosure (PLA filament), removable lid, front-panel cutout for potentiometer and LCD, accommodates LaunchPad and wiring; CAD in SolidWorks</t>
  </si>
  <si>
    <t xml:space="preserve">Custom – rail.SLDPRT (SolidWorks)</t>
  </si>
  <si>
    <t xml:space="preserve">BB-01</t>
  </si>
  <si>
    <t xml:space="preserve">Breadboard &amp; Jumper Wires</t>
  </si>
  <si>
    <t xml:space="preserve">Half-size solderless breadboard and assorted male-to-male jumper wires for prototype wiring of sensor, LCD, and potentiometer</t>
  </si>
  <si>
    <t xml:space="preserve">APCS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</si>
</sst>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BF5FB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4" min="3" style="1" width="22"/>
    <col collapsed="false" customWidth="true" hidden="false" outlineLevel="0" max="5" min="5" style="1" width="52"/>
    <col collapsed="false" customWidth="true" hidden="false" outlineLevel="0" max="6" min="6" style="1" width="32"/>
    <col collapsed="false" customWidth="true" hidden="false" outlineLevel="0" max="7" min="7" style="1" width="8"/>
    <col collapsed="false" customWidth="true" hidden="false" outlineLevel="0" max="9" min="8" style="1" width="1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45" hidden="false" customHeight="true" outlineLevel="0" collapsed="false">
      <c r="A2" s="3" t="n">
        <v>1</v>
      </c>
      <c r="B2" s="4" t="s">
        <v>9</v>
      </c>
      <c r="C2" s="4" t="s">
        <v>10</v>
      </c>
      <c r="D2" s="5" t="s">
        <v>11</v>
      </c>
      <c r="E2" s="5" t="s">
        <v>12</v>
      </c>
      <c r="F2" s="4" t="s">
        <v>13</v>
      </c>
      <c r="G2" s="1" t="n">
        <v>1</v>
      </c>
      <c r="H2" s="1" t="n">
        <v>4.5</v>
      </c>
      <c r="I2" s="1" t="n">
        <f aca="false">G2*H2</f>
        <v>4.5</v>
      </c>
    </row>
    <row r="3" customFormat="false" ht="45" hidden="false" customHeight="true" outlineLevel="0" collapsed="false">
      <c r="A3" s="3" t="n">
        <v>2</v>
      </c>
      <c r="B3" s="4" t="s">
        <v>14</v>
      </c>
      <c r="C3" s="4" t="s">
        <v>15</v>
      </c>
      <c r="D3" s="4" t="s">
        <v>16</v>
      </c>
      <c r="E3" s="5" t="s">
        <v>17</v>
      </c>
      <c r="F3" s="4" t="s">
        <v>18</v>
      </c>
      <c r="G3" s="1" t="n">
        <v>1</v>
      </c>
      <c r="H3" s="1" t="n">
        <v>8</v>
      </c>
      <c r="I3" s="1" t="n">
        <f aca="false">G3*H3</f>
        <v>8</v>
      </c>
    </row>
    <row r="4" customFormat="false" ht="45" hidden="false" customHeight="true" outlineLevel="0" collapsed="false">
      <c r="A4" s="3" t="n">
        <v>3</v>
      </c>
      <c r="B4" s="4" t="s">
        <v>19</v>
      </c>
      <c r="C4" s="4" t="s">
        <v>15</v>
      </c>
      <c r="D4" s="4" t="s">
        <v>20</v>
      </c>
      <c r="E4" s="5" t="s">
        <v>21</v>
      </c>
      <c r="F4" s="4" t="s">
        <v>22</v>
      </c>
      <c r="G4" s="1" t="n">
        <v>1</v>
      </c>
      <c r="H4" s="1" t="n">
        <v>3.5</v>
      </c>
      <c r="I4" s="1" t="n">
        <f aca="false">G4*H4</f>
        <v>3.5</v>
      </c>
    </row>
    <row r="5" customFormat="false" ht="45" hidden="false" customHeight="true" outlineLevel="0" collapsed="false">
      <c r="A5" s="3" t="n">
        <v>4</v>
      </c>
      <c r="B5" s="4" t="s">
        <v>23</v>
      </c>
      <c r="C5" s="4" t="s">
        <v>24</v>
      </c>
      <c r="D5" s="4" t="s">
        <v>25</v>
      </c>
      <c r="E5" s="5" t="s">
        <v>26</v>
      </c>
      <c r="F5" s="4" t="s">
        <v>27</v>
      </c>
      <c r="G5" s="1" t="n">
        <v>1</v>
      </c>
      <c r="H5" s="1" t="n">
        <v>3</v>
      </c>
      <c r="I5" s="1" t="n">
        <f aca="false">G5*H5</f>
        <v>3</v>
      </c>
    </row>
    <row r="6" customFormat="false" ht="45" hidden="false" customHeight="true" outlineLevel="0" collapsed="false">
      <c r="A6" s="3" t="n">
        <v>5</v>
      </c>
      <c r="B6" s="4" t="s">
        <v>28</v>
      </c>
      <c r="C6" s="4" t="s">
        <v>29</v>
      </c>
      <c r="D6" s="4" t="s">
        <v>30</v>
      </c>
      <c r="E6" s="5" t="s">
        <v>31</v>
      </c>
      <c r="F6" s="4" t="s">
        <v>32</v>
      </c>
      <c r="G6" s="1" t="n">
        <v>1</v>
      </c>
      <c r="H6" s="1" t="n">
        <v>12</v>
      </c>
      <c r="I6" s="1" t="n">
        <f aca="false">G6*H6</f>
        <v>12</v>
      </c>
    </row>
    <row r="7" customFormat="false" ht="45" hidden="false" customHeight="true" outlineLevel="0" collapsed="false">
      <c r="A7" s="3" t="n">
        <v>6</v>
      </c>
      <c r="B7" s="4" t="s">
        <v>33</v>
      </c>
      <c r="C7" s="4" t="s">
        <v>15</v>
      </c>
      <c r="D7" s="4" t="s">
        <v>34</v>
      </c>
      <c r="E7" s="5" t="s">
        <v>35</v>
      </c>
      <c r="F7" s="4" t="s">
        <v>36</v>
      </c>
      <c r="G7" s="1" t="n">
        <v>1</v>
      </c>
      <c r="H7" s="1" t="n">
        <v>2.5</v>
      </c>
      <c r="I7" s="1" t="n">
        <f aca="false">G7*H7</f>
        <v>2.5</v>
      </c>
    </row>
    <row r="8" customFormat="false" ht="45" hidden="false" customHeight="true" outlineLevel="0" collapsed="false">
      <c r="A8" s="3" t="n">
        <v>7</v>
      </c>
      <c r="B8" s="4" t="s">
        <v>37</v>
      </c>
      <c r="C8" s="4" t="s">
        <v>15</v>
      </c>
      <c r="D8" s="4" t="s">
        <v>38</v>
      </c>
      <c r="E8" s="5" t="s">
        <v>39</v>
      </c>
      <c r="F8" s="4" t="s">
        <v>40</v>
      </c>
      <c r="G8" s="1" t="n">
        <v>2</v>
      </c>
      <c r="H8" s="1" t="n">
        <v>1</v>
      </c>
      <c r="I8" s="1" t="n">
        <f aca="false">G8*H8</f>
        <v>2</v>
      </c>
    </row>
    <row r="9" customFormat="false" ht="21.75" hidden="false" customHeight="true" outlineLevel="0" collapsed="false">
      <c r="A9" s="6" t="s">
        <v>41</v>
      </c>
      <c r="B9" s="6"/>
      <c r="C9" s="6"/>
      <c r="D9" s="6"/>
      <c r="E9" s="6"/>
      <c r="F9" s="6"/>
      <c r="G9" s="6"/>
      <c r="H9" s="6"/>
      <c r="I9" s="6"/>
    </row>
    <row r="10" customFormat="false" ht="45" hidden="false" customHeight="true" outlineLevel="0" collapsed="false">
      <c r="A10" s="7" t="n">
        <v>8</v>
      </c>
      <c r="B10" s="7" t="s">
        <v>42</v>
      </c>
      <c r="C10" s="7" t="s">
        <v>43</v>
      </c>
      <c r="D10" s="7" t="s">
        <v>44</v>
      </c>
      <c r="E10" s="7" t="s">
        <v>45</v>
      </c>
      <c r="F10" s="7" t="s">
        <v>46</v>
      </c>
      <c r="G10" s="7" t="n">
        <v>1</v>
      </c>
      <c r="H10" s="8" t="n">
        <v>0</v>
      </c>
      <c r="I10" s="9" t="n">
        <f aca="false">G10*H10</f>
        <v>0</v>
      </c>
    </row>
    <row r="11" customFormat="false" ht="45" hidden="false" customHeight="true" outlineLevel="0" collapsed="false">
      <c r="A11" s="10" t="n">
        <v>9</v>
      </c>
      <c r="B11" s="10" t="s">
        <v>47</v>
      </c>
      <c r="C11" s="10" t="s">
        <v>48</v>
      </c>
      <c r="D11" s="10" t="s">
        <v>49</v>
      </c>
      <c r="E11" s="10" t="s">
        <v>50</v>
      </c>
      <c r="F11" s="10" t="s">
        <v>51</v>
      </c>
      <c r="G11" s="10" t="n">
        <v>1</v>
      </c>
      <c r="H11" s="11" t="n">
        <v>3.5</v>
      </c>
      <c r="I11" s="12" t="n">
        <f aca="false">G11*H11</f>
        <v>3.5</v>
      </c>
    </row>
    <row r="12" customFormat="false" ht="45" hidden="false" customHeight="true" outlineLevel="0" collapsed="false">
      <c r="A12" s="7" t="n">
        <v>10</v>
      </c>
      <c r="B12" s="7" t="s">
        <v>52</v>
      </c>
      <c r="C12" s="7" t="s">
        <v>15</v>
      </c>
      <c r="D12" s="7" t="s">
        <v>53</v>
      </c>
      <c r="E12" s="7" t="s">
        <v>54</v>
      </c>
      <c r="F12" s="7" t="s">
        <v>40</v>
      </c>
      <c r="G12" s="7" t="n">
        <v>1</v>
      </c>
      <c r="H12" s="8" t="n">
        <v>0</v>
      </c>
      <c r="I12" s="9" t="n">
        <f aca="false">G12*H12</f>
        <v>0</v>
      </c>
    </row>
    <row r="13" customFormat="false" ht="45" hidden="false" customHeight="true" outlineLevel="0" collapsed="false">
      <c r="A13" s="10" t="n">
        <v>11</v>
      </c>
      <c r="B13" s="10" t="s">
        <v>55</v>
      </c>
      <c r="C13" s="10" t="s">
        <v>56</v>
      </c>
      <c r="D13" s="10" t="s">
        <v>57</v>
      </c>
      <c r="E13" s="10" t="s">
        <v>58</v>
      </c>
      <c r="F13" s="10" t="s">
        <v>59</v>
      </c>
      <c r="G13" s="10" t="n">
        <v>3</v>
      </c>
      <c r="H13" s="11" t="n">
        <v>10</v>
      </c>
      <c r="I13" s="12" t="n">
        <f aca="false">G13*H13</f>
        <v>30</v>
      </c>
    </row>
    <row r="14" customFormat="false" ht="45" hidden="false" customHeight="true" outlineLevel="0" collapsed="false">
      <c r="A14" s="7" t="n">
        <v>12</v>
      </c>
      <c r="B14" s="7" t="s">
        <v>60</v>
      </c>
      <c r="C14" s="7" t="s">
        <v>15</v>
      </c>
      <c r="D14" s="7" t="s">
        <v>61</v>
      </c>
      <c r="E14" s="7" t="s">
        <v>62</v>
      </c>
      <c r="F14" s="7" t="s">
        <v>40</v>
      </c>
      <c r="G14" s="7" t="n">
        <v>1</v>
      </c>
      <c r="H14" s="8" t="n">
        <v>6</v>
      </c>
      <c r="I14" s="9" t="n">
        <f aca="false">G14*H14</f>
        <v>6</v>
      </c>
    </row>
    <row r="15" customFormat="false" ht="45" hidden="false" customHeight="true" outlineLevel="0" collapsed="false">
      <c r="A15" s="10" t="n">
        <v>13</v>
      </c>
      <c r="B15" s="10" t="s">
        <v>63</v>
      </c>
      <c r="C15" s="10" t="s">
        <v>15</v>
      </c>
      <c r="D15" s="10" t="s">
        <v>64</v>
      </c>
      <c r="E15" s="10" t="s">
        <v>65</v>
      </c>
      <c r="F15" s="10" t="s">
        <v>40</v>
      </c>
      <c r="G15" s="10" t="n">
        <v>1</v>
      </c>
      <c r="H15" s="11" t="n">
        <v>0.1</v>
      </c>
      <c r="I15" s="12" t="n">
        <f aca="false">G15*H15</f>
        <v>0.1</v>
      </c>
    </row>
    <row r="16" customFormat="false" ht="45" hidden="false" customHeight="true" outlineLevel="0" collapsed="false">
      <c r="A16" s="7" t="n">
        <v>14</v>
      </c>
      <c r="B16" s="7" t="s">
        <v>66</v>
      </c>
      <c r="C16" s="7" t="s">
        <v>15</v>
      </c>
      <c r="D16" s="7" t="s">
        <v>67</v>
      </c>
      <c r="E16" s="7" t="s">
        <v>68</v>
      </c>
      <c r="F16" s="7" t="s">
        <v>40</v>
      </c>
      <c r="G16" s="7" t="n">
        <v>1</v>
      </c>
      <c r="H16" s="8" t="n">
        <v>9</v>
      </c>
      <c r="I16" s="9" t="n">
        <f aca="false">G16*H16</f>
        <v>9</v>
      </c>
    </row>
    <row r="17" customFormat="false" ht="45" hidden="false" customHeight="true" outlineLevel="0" collapsed="false">
      <c r="A17" s="10" t="n">
        <v>15</v>
      </c>
      <c r="B17" s="10" t="s">
        <v>69</v>
      </c>
      <c r="C17" s="10" t="s">
        <v>70</v>
      </c>
      <c r="D17" s="10" t="s">
        <v>71</v>
      </c>
      <c r="E17" s="10" t="s">
        <v>72</v>
      </c>
      <c r="F17" s="10" t="s">
        <v>73</v>
      </c>
      <c r="G17" s="10" t="n">
        <v>1</v>
      </c>
      <c r="H17" s="11" t="n">
        <v>4</v>
      </c>
      <c r="I17" s="12" t="n">
        <f aca="false">G17*H17</f>
        <v>4</v>
      </c>
    </row>
    <row r="18" customFormat="false" ht="45" hidden="false" customHeight="true" outlineLevel="0" collapsed="false">
      <c r="A18" s="7" t="n">
        <v>16</v>
      </c>
      <c r="B18" s="7" t="s">
        <v>74</v>
      </c>
      <c r="C18" s="7" t="s">
        <v>15</v>
      </c>
      <c r="D18" s="7" t="s">
        <v>75</v>
      </c>
      <c r="E18" s="7" t="s">
        <v>76</v>
      </c>
      <c r="F18" s="7" t="s">
        <v>40</v>
      </c>
      <c r="G18" s="7" t="n">
        <v>1</v>
      </c>
      <c r="H18" s="8" t="n">
        <v>5</v>
      </c>
      <c r="I18" s="9" t="n">
        <f aca="false">G18*H18</f>
        <v>5</v>
      </c>
    </row>
    <row r="19" customFormat="false" ht="45" hidden="false" customHeight="true" outlineLevel="0" collapsed="false">
      <c r="G19" s="13" t="s">
        <v>77</v>
      </c>
      <c r="H19" s="14"/>
      <c r="I19" s="15" t="n">
        <f aca="false">SUM(I10:I18)</f>
        <v>57.6</v>
      </c>
    </row>
  </sheetData>
  <mergeCells count="1"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2026-04-22T03:30:14Z</dcterms:created>
  <dc:creator>openpyxl</dc:creator>
  <dc:description/>
  <dc:language>en-US</dc:language>
  <cp:lastModifiedBy/>
  <dcterms:modified xsi:type="dcterms:W3CDTF">2026-04-21T23:37:28Z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